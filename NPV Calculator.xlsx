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B920729-F306-4694-B5B0-925A41AE18F1}" xr6:coauthVersionLast="47" xr6:coauthVersionMax="47" xr10:uidLastSave="{00000000-0000-0000-0000-000000000000}"/>
  <bookViews>
    <workbookView xWindow="-110" yWindow="-110" windowWidth="19420" windowHeight="10300" xr2:uid="{64C26AA5-FCEE-4C57-83E4-2D8A6D872D54}"/>
  </bookViews>
  <sheets>
    <sheet name="NPV Calculat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1" l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I35" i="1" s="1"/>
  <c r="I36" i="1" s="1"/>
  <c r="H28" i="1"/>
  <c r="H35" i="1" s="1"/>
  <c r="H36" i="1" s="1"/>
  <c r="G28" i="1"/>
  <c r="G35" i="1" s="1"/>
  <c r="G36" i="1" s="1"/>
  <c r="I27" i="1"/>
  <c r="I37" i="1" s="1"/>
  <c r="H27" i="1"/>
  <c r="H37" i="1" s="1"/>
  <c r="G27" i="1"/>
  <c r="G37" i="1" s="1"/>
  <c r="D9" i="1"/>
  <c r="I14" i="1" s="1"/>
  <c r="I8" i="1"/>
  <c r="I7" i="1"/>
  <c r="I6" i="1"/>
  <c r="I5" i="1"/>
  <c r="I9" i="1" s="1"/>
  <c r="I15" i="1" s="1"/>
  <c r="I4" i="1"/>
</calcChain>
</file>

<file path=xl/sharedStrings.xml><?xml version="1.0" encoding="utf-8"?>
<sst xmlns="http://schemas.openxmlformats.org/spreadsheetml/2006/main" count="20" uniqueCount="18">
  <si>
    <t>NPV Calculator</t>
  </si>
  <si>
    <t>Total Amount Invested</t>
  </si>
  <si>
    <t>Cash Flows</t>
  </si>
  <si>
    <t>Calculating Net Present Value</t>
  </si>
  <si>
    <t xml:space="preserve">Total  </t>
  </si>
  <si>
    <t xml:space="preserve">Rate of Return </t>
  </si>
  <si>
    <t>Total Profit (or loss) without NPV</t>
  </si>
  <si>
    <t>Total Profit (or loss) with NPV</t>
  </si>
  <si>
    <t>Case Study</t>
  </si>
  <si>
    <t>Bear</t>
  </si>
  <si>
    <t>Base</t>
  </si>
  <si>
    <t>Bull</t>
  </si>
  <si>
    <t>Initial Investment</t>
  </si>
  <si>
    <t xml:space="preserve">Total </t>
  </si>
  <si>
    <t>NPV</t>
  </si>
  <si>
    <t>r</t>
  </si>
  <si>
    <t>Profit (or loss) with NPV</t>
  </si>
  <si>
    <t>Profit (or loss) without 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</si>
</sst>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1" fillId="0" borderId="2" xfId="0" applyFont="1" applyBorder="1"/>
    <xf numFmtId="0" fontId="1" fillId="0" borderId="3" xfId="0" applyFon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0" xfId="0" applyNumberFormat="1"/>
    <xf numFmtId="2" fontId="0" fillId="0" borderId="11" xfId="0" applyNumberFormat="1" applyBorder="1"/>
    <xf numFmtId="10" fontId="0" fillId="0" borderId="8" xfId="0" applyNumberFormat="1" applyBorder="1"/>
    <xf numFmtId="2" fontId="1" fillId="0" borderId="2" xfId="0" applyNumberFormat="1" applyFont="1" applyBorder="1"/>
    <xf numFmtId="2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592D-6DF1-4387-A4DB-BE2732BB34EE}">
  <dimension ref="A1:O37"/>
  <sheetViews>
    <sheetView tabSelected="1" zoomScale="50" workbookViewId="0">
      <selection activeCell="Q29" sqref="Q29"/>
    </sheetView>
  </sheetViews>
  <sheetFormatPr defaultRowHeight="14.5" x14ac:dyDescent="0.35"/>
  <cols>
    <col min="6" max="6" width="9.453125" customWidth="1"/>
    <col min="7" max="8" width="9.81640625" bestFit="1" customWidth="1"/>
    <col min="9" max="9" width="10.26953125" bestFit="1" customWidth="1"/>
  </cols>
  <sheetData>
    <row r="1" spans="1:1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s="2" t="s">
        <v>1</v>
      </c>
      <c r="B2" s="2"/>
      <c r="C2" s="2"/>
      <c r="D2" s="2"/>
      <c r="E2" s="2">
        <v>50000</v>
      </c>
      <c r="F2" s="2"/>
      <c r="G2" s="2"/>
      <c r="H2" s="2"/>
    </row>
    <row r="3" spans="1:15" x14ac:dyDescent="0.35">
      <c r="A3" s="3" t="s">
        <v>2</v>
      </c>
      <c r="B3" s="3"/>
      <c r="C3" s="3"/>
      <c r="D3" s="3"/>
      <c r="E3" s="3"/>
      <c r="F3" s="3"/>
      <c r="G3" s="3"/>
      <c r="H3" s="3"/>
      <c r="I3" s="3" t="s">
        <v>3</v>
      </c>
      <c r="J3" s="3"/>
      <c r="K3" s="3"/>
      <c r="L3" s="3"/>
      <c r="M3" s="3"/>
      <c r="N3" s="3"/>
      <c r="O3" s="3"/>
    </row>
    <row r="4" spans="1:15" x14ac:dyDescent="0.35">
      <c r="A4" s="4">
        <v>1</v>
      </c>
      <c r="B4" s="4"/>
      <c r="C4" s="4"/>
      <c r="D4" s="4">
        <v>10000</v>
      </c>
      <c r="E4" s="4"/>
      <c r="F4" s="4"/>
      <c r="G4" s="4"/>
      <c r="H4" s="4"/>
      <c r="I4" s="4">
        <f>D4/(1+E10)^A4</f>
        <v>9319.6644920782855</v>
      </c>
      <c r="J4" s="4"/>
      <c r="K4" s="4"/>
      <c r="L4" s="4"/>
      <c r="M4" s="4"/>
      <c r="N4" s="4"/>
      <c r="O4" s="4"/>
    </row>
    <row r="5" spans="1:15" x14ac:dyDescent="0.35">
      <c r="A5" s="4">
        <v>2</v>
      </c>
      <c r="B5" s="4"/>
      <c r="C5" s="4"/>
      <c r="D5" s="4">
        <v>15000</v>
      </c>
      <c r="E5" s="4"/>
      <c r="F5" s="4"/>
      <c r="G5" s="4"/>
      <c r="H5" s="4"/>
      <c r="I5" s="4">
        <f>D5/(1+E10)^A5</f>
        <v>13028.421936735722</v>
      </c>
      <c r="J5" s="4"/>
      <c r="K5" s="4"/>
      <c r="L5" s="4"/>
      <c r="M5" s="4"/>
      <c r="N5" s="4"/>
      <c r="O5" s="4"/>
    </row>
    <row r="6" spans="1:15" x14ac:dyDescent="0.35">
      <c r="A6" s="4">
        <v>3</v>
      </c>
      <c r="B6" s="4"/>
      <c r="C6" s="4"/>
      <c r="D6" s="4">
        <v>-5000</v>
      </c>
      <c r="E6" s="4"/>
      <c r="F6" s="4"/>
      <c r="G6" s="4"/>
      <c r="H6" s="4"/>
      <c r="I6" s="4">
        <f>D6/(1+E10)^A6</f>
        <v>-4047.3507103869911</v>
      </c>
      <c r="J6" s="4"/>
      <c r="K6" s="4"/>
      <c r="L6" s="4"/>
      <c r="M6" s="4"/>
      <c r="N6" s="4"/>
      <c r="O6" s="4"/>
    </row>
    <row r="7" spans="1:15" x14ac:dyDescent="0.35">
      <c r="A7" s="4">
        <v>4</v>
      </c>
      <c r="B7" s="4"/>
      <c r="C7" s="4"/>
      <c r="D7" s="4">
        <v>20000</v>
      </c>
      <c r="E7" s="4"/>
      <c r="F7" s="4"/>
      <c r="G7" s="4"/>
      <c r="H7" s="4"/>
      <c r="I7" s="4">
        <f>D7/(1+E10)^A7</f>
        <v>15087.980281032585</v>
      </c>
      <c r="J7" s="4"/>
      <c r="K7" s="4"/>
      <c r="L7" s="4"/>
      <c r="M7" s="4"/>
      <c r="N7" s="4"/>
      <c r="O7" s="4"/>
    </row>
    <row r="8" spans="1:15" ht="15" thickBot="1" x14ac:dyDescent="0.4">
      <c r="A8" s="4">
        <v>5</v>
      </c>
      <c r="B8" s="4"/>
      <c r="C8" s="4"/>
      <c r="D8" s="4">
        <v>30000</v>
      </c>
      <c r="E8" s="4"/>
      <c r="F8" s="4"/>
      <c r="G8" s="4"/>
      <c r="H8" s="4"/>
      <c r="I8" s="4">
        <f>D8/(1+E10)^A8</f>
        <v>21092.23711234751</v>
      </c>
      <c r="J8" s="4"/>
      <c r="K8" s="4"/>
      <c r="L8" s="4"/>
      <c r="M8" s="4"/>
      <c r="N8" s="4"/>
      <c r="O8" s="4"/>
    </row>
    <row r="9" spans="1:15" ht="15" thickBot="1" x14ac:dyDescent="0.4">
      <c r="A9" s="5" t="s">
        <v>4</v>
      </c>
      <c r="B9" s="6"/>
      <c r="C9" s="6"/>
      <c r="D9" s="6">
        <f>SUM(D4:H8)</f>
        <v>70000</v>
      </c>
      <c r="E9" s="6"/>
      <c r="F9" s="6"/>
      <c r="G9" s="6"/>
      <c r="H9" s="7"/>
      <c r="I9" s="5">
        <f>SUM(I4:O8)</f>
        <v>54480.95311180711</v>
      </c>
      <c r="J9" s="6"/>
      <c r="K9" s="6"/>
      <c r="L9" s="6"/>
      <c r="M9" s="6"/>
      <c r="N9" s="6"/>
      <c r="O9" s="7"/>
    </row>
    <row r="10" spans="1:15" x14ac:dyDescent="0.35">
      <c r="A10" s="2" t="s">
        <v>5</v>
      </c>
      <c r="B10" s="2"/>
      <c r="C10" s="2"/>
      <c r="D10" s="2"/>
      <c r="E10" s="8">
        <v>7.2999999999999995E-2</v>
      </c>
      <c r="F10" s="2"/>
      <c r="G10" s="2"/>
      <c r="H10" s="2"/>
    </row>
    <row r="13" spans="1:15" ht="15" thickBot="1" x14ac:dyDescent="0.4"/>
    <row r="14" spans="1:15" x14ac:dyDescent="0.35">
      <c r="A14" s="9" t="s">
        <v>6</v>
      </c>
      <c r="B14" s="10"/>
      <c r="C14" s="10"/>
      <c r="D14" s="10"/>
      <c r="E14" s="10"/>
      <c r="F14" s="10"/>
      <c r="G14" s="10"/>
      <c r="H14" s="11"/>
      <c r="I14" s="12">
        <f>D9-E2</f>
        <v>20000</v>
      </c>
      <c r="J14" s="12"/>
      <c r="K14" s="12"/>
      <c r="L14" s="12"/>
      <c r="M14" s="12"/>
      <c r="N14" s="12"/>
      <c r="O14" s="13"/>
    </row>
    <row r="15" spans="1:15" ht="15" thickBot="1" x14ac:dyDescent="0.4">
      <c r="A15" s="14" t="s">
        <v>7</v>
      </c>
      <c r="B15" s="15"/>
      <c r="C15" s="15"/>
      <c r="D15" s="15"/>
      <c r="E15" s="15"/>
      <c r="F15" s="15"/>
      <c r="G15" s="15"/>
      <c r="H15" s="16"/>
      <c r="I15" s="17">
        <f>I9-E2</f>
        <v>4480.95311180711</v>
      </c>
      <c r="J15" s="17"/>
      <c r="K15" s="17"/>
      <c r="L15" s="17"/>
      <c r="M15" s="17"/>
      <c r="N15" s="17"/>
      <c r="O15" s="18"/>
    </row>
    <row r="18" spans="1:15" ht="15" thickBot="1" x14ac:dyDescent="0.4">
      <c r="A18" s="2" t="s">
        <v>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" thickBot="1" x14ac:dyDescent="0.4">
      <c r="D19" s="19"/>
      <c r="E19" s="20"/>
      <c r="F19" s="20"/>
      <c r="G19" s="20" t="s">
        <v>9</v>
      </c>
      <c r="H19" s="20" t="s">
        <v>10</v>
      </c>
      <c r="I19" s="21" t="s">
        <v>11</v>
      </c>
    </row>
    <row r="20" spans="1:15" ht="15" thickBot="1" x14ac:dyDescent="0.4">
      <c r="D20" s="22" t="s">
        <v>12</v>
      </c>
      <c r="E20" s="23"/>
      <c r="F20" s="23"/>
      <c r="G20" s="23">
        <v>50000</v>
      </c>
      <c r="H20" s="23">
        <v>50000</v>
      </c>
      <c r="I20" s="24">
        <v>50000</v>
      </c>
    </row>
    <row r="21" spans="1:15" x14ac:dyDescent="0.35">
      <c r="D21" s="25" t="s">
        <v>2</v>
      </c>
      <c r="E21" s="26"/>
      <c r="F21" s="26">
        <v>1</v>
      </c>
      <c r="G21" s="26">
        <v>18000</v>
      </c>
      <c r="H21" s="26">
        <v>20000</v>
      </c>
      <c r="I21" s="27">
        <v>22000</v>
      </c>
    </row>
    <row r="22" spans="1:15" x14ac:dyDescent="0.35">
      <c r="D22" s="28"/>
      <c r="F22">
        <v>2</v>
      </c>
      <c r="G22">
        <v>13000</v>
      </c>
      <c r="H22">
        <v>30000</v>
      </c>
      <c r="I22" s="29">
        <v>30000</v>
      </c>
    </row>
    <row r="23" spans="1:15" x14ac:dyDescent="0.35">
      <c r="D23" s="28"/>
      <c r="F23">
        <v>3</v>
      </c>
      <c r="G23">
        <v>-20000</v>
      </c>
      <c r="H23">
        <v>-15000</v>
      </c>
      <c r="I23" s="29">
        <v>38000</v>
      </c>
    </row>
    <row r="24" spans="1:15" x14ac:dyDescent="0.35">
      <c r="D24" s="28"/>
      <c r="F24">
        <v>4</v>
      </c>
      <c r="G24">
        <v>25000</v>
      </c>
      <c r="H24">
        <v>35000</v>
      </c>
      <c r="I24" s="29">
        <v>42000</v>
      </c>
    </row>
    <row r="25" spans="1:15" x14ac:dyDescent="0.35">
      <c r="D25" s="28"/>
      <c r="F25">
        <v>5</v>
      </c>
      <c r="G25">
        <v>15000</v>
      </c>
      <c r="H25">
        <v>22000</v>
      </c>
      <c r="I25" s="29">
        <v>50000</v>
      </c>
    </row>
    <row r="26" spans="1:15" ht="15" thickBot="1" x14ac:dyDescent="0.4">
      <c r="D26" s="22"/>
      <c r="E26" s="23"/>
      <c r="F26" s="23">
        <v>6</v>
      </c>
      <c r="G26" s="23">
        <v>30000</v>
      </c>
      <c r="H26" s="23">
        <v>32000</v>
      </c>
      <c r="I26" s="24">
        <v>54000</v>
      </c>
    </row>
    <row r="27" spans="1:15" ht="15" thickBot="1" x14ac:dyDescent="0.4">
      <c r="D27" s="19" t="s">
        <v>13</v>
      </c>
      <c r="E27" s="20"/>
      <c r="F27" s="20"/>
      <c r="G27" s="30">
        <f>SUM(G21:G26)</f>
        <v>81000</v>
      </c>
      <c r="H27" s="30">
        <f>SUM(H21:H26)</f>
        <v>124000</v>
      </c>
      <c r="I27" s="31">
        <f>SUM(I20:I26)</f>
        <v>286000</v>
      </c>
    </row>
    <row r="28" spans="1:15" x14ac:dyDescent="0.35">
      <c r="D28" s="25" t="s">
        <v>14</v>
      </c>
      <c r="E28" s="26"/>
      <c r="F28" s="26">
        <v>1</v>
      </c>
      <c r="G28" s="32">
        <f>G21/(1+E34)^F21</f>
        <v>16775.396085740915</v>
      </c>
      <c r="H28" s="32">
        <f>H21/(1+E34)^F21</f>
        <v>18639.328984156571</v>
      </c>
      <c r="I28" s="33">
        <f>I21/(1+E34)^F28</f>
        <v>20503.261882572227</v>
      </c>
    </row>
    <row r="29" spans="1:15" x14ac:dyDescent="0.35">
      <c r="D29" s="28"/>
      <c r="F29">
        <v>2</v>
      </c>
      <c r="G29" s="34">
        <f>G22/(1+E34)^F22</f>
        <v>11291.299011837626</v>
      </c>
      <c r="H29" s="34">
        <f>H22/(1+E34)^F22</f>
        <v>26056.843873471444</v>
      </c>
      <c r="I29" s="35">
        <f>I22/(1+E34)^F29</f>
        <v>26056.843873471444</v>
      </c>
    </row>
    <row r="30" spans="1:15" x14ac:dyDescent="0.35">
      <c r="D30" s="28"/>
      <c r="F30">
        <v>3</v>
      </c>
      <c r="G30" s="34">
        <f>G23/(1+E34)^F23</f>
        <v>-16189.402841547964</v>
      </c>
      <c r="H30" s="34">
        <f>H23/(1+E34)^F23</f>
        <v>-12142.052131160974</v>
      </c>
      <c r="I30" s="35">
        <f>I23/(1+E34)^F30</f>
        <v>30759.865398941132</v>
      </c>
    </row>
    <row r="31" spans="1:15" x14ac:dyDescent="0.35">
      <c r="D31" s="28"/>
      <c r="F31">
        <v>4</v>
      </c>
      <c r="G31" s="34">
        <f>G24/(1+E34)^F24</f>
        <v>18859.97535129073</v>
      </c>
      <c r="H31" s="34">
        <f>H24/(1+E34)^F24</f>
        <v>26403.965491807023</v>
      </c>
      <c r="I31" s="35">
        <f>I24/(1+E34)^F31</f>
        <v>31684.758590168429</v>
      </c>
    </row>
    <row r="32" spans="1:15" x14ac:dyDescent="0.35">
      <c r="D32" s="28"/>
      <c r="F32">
        <v>5</v>
      </c>
      <c r="G32" s="34">
        <f>G25/(1+E34)^F25</f>
        <v>10546.118556173755</v>
      </c>
      <c r="H32" s="34">
        <f>H25/(1+E34)^F25</f>
        <v>15467.640549054842</v>
      </c>
      <c r="I32" s="35">
        <f>I25/(1+E34)^F32</f>
        <v>35153.728520579185</v>
      </c>
    </row>
    <row r="33" spans="4:9" x14ac:dyDescent="0.35">
      <c r="D33" s="28"/>
      <c r="F33">
        <v>6</v>
      </c>
      <c r="G33" s="34">
        <f>G26/(1+E34)^F26</f>
        <v>19657.257327444095</v>
      </c>
      <c r="H33" s="34">
        <f>H26/(1+E34)^F26</f>
        <v>20967.741149273701</v>
      </c>
      <c r="I33" s="35">
        <f>I26/(1+E34)^F33</f>
        <v>35383.06318939937</v>
      </c>
    </row>
    <row r="34" spans="4:9" ht="15" thickBot="1" x14ac:dyDescent="0.4">
      <c r="D34" s="22" t="s">
        <v>15</v>
      </c>
      <c r="E34" s="36">
        <v>7.2999999999999995E-2</v>
      </c>
      <c r="F34" s="23"/>
      <c r="G34" s="23"/>
      <c r="H34" s="23"/>
      <c r="I34" s="24"/>
    </row>
    <row r="35" spans="4:9" ht="15" thickBot="1" x14ac:dyDescent="0.4">
      <c r="D35" s="19" t="s">
        <v>13</v>
      </c>
      <c r="E35" s="20"/>
      <c r="F35" s="20"/>
      <c r="G35" s="37">
        <f>SUM(G28:G33)</f>
        <v>60940.643490939154</v>
      </c>
      <c r="H35" s="37">
        <f t="shared" ref="H35:I35" si="0">SUM(H28:H33)</f>
        <v>95393.467916602618</v>
      </c>
      <c r="I35" s="38">
        <f t="shared" si="0"/>
        <v>179541.52145513182</v>
      </c>
    </row>
    <row r="36" spans="4:9" x14ac:dyDescent="0.35">
      <c r="D36" s="28" t="s">
        <v>16</v>
      </c>
      <c r="G36" s="34">
        <f>G35-G20</f>
        <v>10940.643490939154</v>
      </c>
      <c r="H36" s="34">
        <f t="shared" ref="H36:I36" si="1">H35-H20</f>
        <v>45393.467916602618</v>
      </c>
      <c r="I36" s="35">
        <f t="shared" si="1"/>
        <v>129541.52145513182</v>
      </c>
    </row>
    <row r="37" spans="4:9" ht="15" thickBot="1" x14ac:dyDescent="0.4">
      <c r="D37" s="22" t="s">
        <v>17</v>
      </c>
      <c r="E37" s="23"/>
      <c r="F37" s="23"/>
      <c r="G37" s="23">
        <f>G27-G20</f>
        <v>31000</v>
      </c>
      <c r="H37" s="23">
        <f t="shared" ref="H37:I37" si="2">H27-H20</f>
        <v>74000</v>
      </c>
      <c r="I37" s="24">
        <f t="shared" si="2"/>
        <v>236000</v>
      </c>
    </row>
  </sheetData>
  <mergeCells count="30">
    <mergeCell ref="A15:H15"/>
    <mergeCell ref="I15:O15"/>
    <mergeCell ref="A18:O18"/>
    <mergeCell ref="A9:C9"/>
    <mergeCell ref="D9:H9"/>
    <mergeCell ref="I9:O9"/>
    <mergeCell ref="A10:D10"/>
    <mergeCell ref="E10:H10"/>
    <mergeCell ref="A14:H14"/>
    <mergeCell ref="I14:O14"/>
    <mergeCell ref="A7:C7"/>
    <mergeCell ref="D7:H7"/>
    <mergeCell ref="I7:O7"/>
    <mergeCell ref="A8:C8"/>
    <mergeCell ref="D8:H8"/>
    <mergeCell ref="I8:O8"/>
    <mergeCell ref="A5:C5"/>
    <mergeCell ref="D5:H5"/>
    <mergeCell ref="I5:O5"/>
    <mergeCell ref="A6:C6"/>
    <mergeCell ref="D6:H6"/>
    <mergeCell ref="I6:O6"/>
    <mergeCell ref="A1:O1"/>
    <mergeCell ref="A2:D2"/>
    <mergeCell ref="E2:H2"/>
    <mergeCell ref="A3:H3"/>
    <mergeCell ref="I3:O3"/>
    <mergeCell ref="A4:C4"/>
    <mergeCell ref="D4:H4"/>
    <mergeCell ref="I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NPV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Ibaad the master</dc:creator>
  <cp:lastModifiedBy>Ibaad the master</cp:lastModifiedBy>
  <dcterms:created xsi:type="dcterms:W3CDTF">2026-05-19T20:34:53Z</dcterms:created>
  <dcterms:modified xsi:type="dcterms:W3CDTF">2026-05-19T20:36:09Z</dcterms:modified>
</cp:coreProperties>
</file>