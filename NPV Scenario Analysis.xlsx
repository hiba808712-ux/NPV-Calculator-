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20A7B0B-0F4E-49AE-990E-A3B70DA3E0B0}" xr6:coauthVersionLast="47" xr6:coauthVersionMax="47" xr10:uidLastSave="{00000000-0000-0000-0000-000000000000}"/>
  <bookViews>
    <workbookView xWindow="-110" yWindow="-110" windowWidth="19420" windowHeight="10300" xr2:uid="{64C26AA5-FCEE-4C57-83E4-2D8A6D872D54}"/>
  </bookViews>
  <sheets>
    <sheet name="NPV Scenario Analysi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2" l="1"/>
  <c r="Q18" i="2" s="1"/>
  <c r="H24" i="2" s="1"/>
  <c r="G14" i="2"/>
  <c r="G18" i="2" s="1"/>
  <c r="H23" i="2" s="1"/>
  <c r="G12" i="2"/>
  <c r="AA11" i="2"/>
  <c r="AC11" i="2" s="1"/>
  <c r="S11" i="2"/>
  <c r="Q11" i="2"/>
  <c r="J11" i="2"/>
  <c r="AC10" i="2"/>
  <c r="AA10" i="2"/>
  <c r="Q10" i="2"/>
  <c r="S10" i="2" s="1"/>
  <c r="J10" i="2"/>
  <c r="AC9" i="2"/>
  <c r="AA9" i="2"/>
  <c r="S9" i="2"/>
  <c r="Q9" i="2"/>
  <c r="J9" i="2"/>
  <c r="AA8" i="2"/>
  <c r="AC8" i="2" s="1"/>
  <c r="Q8" i="2"/>
  <c r="S8" i="2" s="1"/>
  <c r="J8" i="2"/>
  <c r="AC7" i="2"/>
  <c r="AA7" i="2"/>
  <c r="Q7" i="2"/>
  <c r="S7" i="2" s="1"/>
  <c r="J7" i="2"/>
  <c r="AA6" i="2"/>
  <c r="AC6" i="2" s="1"/>
  <c r="AC12" i="2" s="1"/>
  <c r="Q6" i="2"/>
  <c r="S6" i="2" s="1"/>
  <c r="J6" i="2"/>
  <c r="J12" i="2" s="1"/>
  <c r="G17" i="2" s="1"/>
  <c r="G23" i="2" s="1"/>
  <c r="Q5" i="2"/>
  <c r="Q12" i="2" s="1"/>
  <c r="S12" i="2" l="1"/>
  <c r="Q17" i="2" s="1"/>
  <c r="G24" i="2" s="1"/>
  <c r="AA5" i="2"/>
  <c r="AA12" i="2" l="1"/>
  <c r="AA14" i="2"/>
  <c r="AA18" i="2" s="1"/>
  <c r="H25" i="2" s="1"/>
  <c r="AA17" i="2"/>
  <c r="G25" i="2" s="1"/>
</calcChain>
</file>

<file path=xl/sharedStrings.xml><?xml version="1.0" encoding="utf-8"?>
<sst xmlns="http://schemas.openxmlformats.org/spreadsheetml/2006/main" count="42" uniqueCount="19">
  <si>
    <t>Cash Flows</t>
  </si>
  <si>
    <t>Base</t>
  </si>
  <si>
    <t>Initial Investment</t>
  </si>
  <si>
    <t>NPV</t>
  </si>
  <si>
    <t xml:space="preserve">NPV Calculator </t>
  </si>
  <si>
    <t>Best Case</t>
  </si>
  <si>
    <t>Worse Case</t>
  </si>
  <si>
    <t>Required Rate of Return</t>
  </si>
  <si>
    <t>Net Present Value</t>
  </si>
  <si>
    <t>-</t>
  </si>
  <si>
    <t>Total</t>
  </si>
  <si>
    <t>Internal Rate of Return</t>
  </si>
  <si>
    <t>Scenario Analysis</t>
  </si>
  <si>
    <t>IRR</t>
  </si>
  <si>
    <t>The investment is good</t>
  </si>
  <si>
    <t>The investment is bad</t>
  </si>
  <si>
    <t>NPV vs IRR</t>
  </si>
  <si>
    <t>Best</t>
  </si>
  <si>
    <t>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</si>
</sst>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/>
    <xf numFmtId="9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/>
    <xf numFmtId="9" fontId="0" fillId="0" borderId="11" xfId="0" applyNumberFormat="1" applyBorder="1"/>
    <xf numFmtId="2" fontId="0" fillId="0" borderId="8" xfId="0" applyNumberFormat="1" applyBorder="1"/>
    <xf numFmtId="9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</a:t>
            </a:r>
            <a:r>
              <a:rPr lang="en-US" baseline="0"/>
              <a:t> Vs IRR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'[1]NPV+IRR Calculator (Session 02)'!$F$23:$F$25</c:f>
              <c:strCache>
                <c:ptCount val="3"/>
                <c:pt idx="0">
                  <c:v>Base</c:v>
                </c:pt>
                <c:pt idx="1">
                  <c:v>Best</c:v>
                </c:pt>
                <c:pt idx="2">
                  <c:v>Worse</c:v>
                </c:pt>
              </c:strCache>
            </c:strRef>
          </c:cat>
          <c:val>
            <c:numRef>
              <c:f>'[1]NPV+IRR Calculator (Session 02)'!$G$23:$G$25</c:f>
              <c:numCache>
                <c:formatCode>0.00</c:formatCode>
                <c:ptCount val="3"/>
                <c:pt idx="0">
                  <c:v>11250</c:v>
                </c:pt>
                <c:pt idx="1">
                  <c:v>17500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D-46B9-A2A3-0DA73452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37151"/>
        <c:axId val="18079232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'[1]NPV+IRR Calculator (Session 02)'!$F$23:$F$25</c:f>
              <c:strCache>
                <c:ptCount val="3"/>
                <c:pt idx="0">
                  <c:v>Base</c:v>
                </c:pt>
                <c:pt idx="1">
                  <c:v>Best</c:v>
                </c:pt>
                <c:pt idx="2">
                  <c:v>Worse</c:v>
                </c:pt>
              </c:strCache>
            </c:strRef>
          </c:cat>
          <c:val>
            <c:numRef>
              <c:f>'[1]NPV+IRR Calculator (Session 02)'!$H$23:$H$25</c:f>
              <c:numCache>
                <c:formatCode>0%</c:formatCode>
                <c:ptCount val="3"/>
                <c:pt idx="0">
                  <c:v>0.25997903854075788</c:v>
                </c:pt>
                <c:pt idx="1">
                  <c:v>0.37081677308053562</c:v>
                </c:pt>
                <c:pt idx="2">
                  <c:v>0.15031900384733077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D-46B9-A2A3-0DA73452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931391"/>
        <c:axId val="1807929951"/>
      </c:lineChart>
      <c:catAx>
        <c:axId val="18079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23231"/>
        <c:crosses val="autoZero"/>
        <c:auto val="1"/>
        <c:lblAlgn val="ctr"/>
        <c:lblOffset val="100"/>
        <c:noMultiLvlLbl val="0"/>
      </c:catAx>
      <c:valAx>
        <c:axId val="18079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37151"/>
        <c:crosses val="autoZero"/>
        <c:crossBetween val="between"/>
      </c:valAx>
      <c:valAx>
        <c:axId val="180792995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31391"/>
        <c:crosses val="max"/>
        <c:crossBetween val="between"/>
      </c:valAx>
      <c:catAx>
        <c:axId val="1807931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792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12959</xdr:colOff>
      <xdr:row>19</xdr:row>
      <xdr:rowOff>165823</xdr:rowOff>
    </xdr:from>
    <xdr:to>
      <xdr:col>22</xdr:col>
      <xdr:colOff>103673</xdr:colOff>
      <xdr:row>36</xdr:row>
      <xdr:rowOff>12960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67198-58CD-4776-8591-96CDAFC1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Quant%20bootcamp%20projects.xlsx" TargetMode="External"/><Relationship Id="rId1" Type="http://schemas.openxmlformats.org/officeDocument/2006/relationships/externalLinkPath" Target="Quant%20bootcamp%20projec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PV Calculator (Session 01)"/>
      <sheetName val="NPV+IRR Calculator (Session 02)"/>
    </sheetNames>
    <sheetDataSet>
      <sheetData sheetId="0"/>
      <sheetData sheetId="1">
        <row r="23">
          <cell r="F23" t="str">
            <v>Base</v>
          </cell>
          <cell r="G23">
            <v>11250</v>
          </cell>
          <cell r="H23">
            <v>0.25997903854075788</v>
          </cell>
        </row>
        <row r="24">
          <cell r="F24" t="str">
            <v>Best</v>
          </cell>
          <cell r="G24">
            <v>17500</v>
          </cell>
          <cell r="H24">
            <v>0.37081677308053562</v>
          </cell>
        </row>
        <row r="25">
          <cell r="F25" t="str">
            <v>Worse</v>
          </cell>
          <cell r="G25">
            <v>5000</v>
          </cell>
          <cell r="H25">
            <v>0.15031900384733077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7F22-EB9E-4110-9856-9FDA16EB0160}">
  <dimension ref="F1:AF25"/>
  <sheetViews>
    <sheetView tabSelected="1" topLeftCell="C1" zoomScale="44" workbookViewId="0">
      <selection activeCell="AL35" sqref="AL35"/>
    </sheetView>
  </sheetViews>
  <sheetFormatPr defaultRowHeight="14.5" x14ac:dyDescent="0.35"/>
  <sheetData>
    <row r="1" spans="6:32" x14ac:dyDescent="0.35">
      <c r="F1" s="12" t="s">
        <v>4</v>
      </c>
      <c r="G1" s="12"/>
      <c r="H1" s="12"/>
      <c r="I1" s="12"/>
      <c r="J1" s="12"/>
      <c r="K1" s="12"/>
      <c r="L1" s="12"/>
      <c r="M1" s="12"/>
      <c r="P1" s="13" t="s">
        <v>5</v>
      </c>
      <c r="Q1" s="13"/>
      <c r="R1" s="13"/>
      <c r="S1" s="13"/>
      <c r="T1" s="13"/>
      <c r="U1" s="13"/>
      <c r="V1" s="13"/>
      <c r="Z1" s="14" t="s">
        <v>6</v>
      </c>
      <c r="AA1" s="14"/>
      <c r="AB1" s="14"/>
      <c r="AC1" s="14"/>
      <c r="AD1" s="14"/>
      <c r="AE1" s="14"/>
      <c r="AF1" s="14"/>
    </row>
    <row r="2" spans="6:32" x14ac:dyDescent="0.35">
      <c r="F2" s="15" t="s">
        <v>2</v>
      </c>
      <c r="G2" s="1">
        <v>20000</v>
      </c>
      <c r="H2" s="1"/>
      <c r="I2" s="1"/>
      <c r="J2" s="1"/>
      <c r="K2" s="1"/>
      <c r="L2" s="1"/>
      <c r="M2" s="1"/>
      <c r="P2" s="15" t="s">
        <v>2</v>
      </c>
      <c r="Q2" s="1">
        <v>20000</v>
      </c>
      <c r="R2" s="1"/>
      <c r="S2" s="1"/>
      <c r="T2" s="1"/>
      <c r="U2" s="1"/>
      <c r="V2" s="1"/>
      <c r="Z2" s="15" t="s">
        <v>2</v>
      </c>
      <c r="AA2" s="1">
        <v>20000</v>
      </c>
      <c r="AB2" s="1"/>
      <c r="AC2" s="1"/>
      <c r="AD2" s="1"/>
      <c r="AE2" s="1"/>
      <c r="AF2" s="1"/>
    </row>
    <row r="3" spans="6:32" x14ac:dyDescent="0.35">
      <c r="F3" s="15" t="s">
        <v>7</v>
      </c>
      <c r="G3" s="1">
        <v>0.2</v>
      </c>
      <c r="H3" s="1"/>
      <c r="I3" s="1"/>
      <c r="J3" s="1"/>
      <c r="K3" s="1"/>
      <c r="L3" s="1"/>
      <c r="M3" s="1"/>
      <c r="P3" s="15" t="s">
        <v>7</v>
      </c>
      <c r="Q3" s="1">
        <v>0.2</v>
      </c>
      <c r="R3" s="1"/>
      <c r="S3" s="1"/>
      <c r="T3" s="1"/>
      <c r="U3" s="1"/>
      <c r="V3" s="1"/>
      <c r="W3" s="15"/>
      <c r="Z3" s="15" t="s">
        <v>7</v>
      </c>
      <c r="AA3" s="1">
        <v>0.2</v>
      </c>
      <c r="AB3" s="1"/>
      <c r="AC3" s="1"/>
      <c r="AD3" s="1"/>
      <c r="AE3" s="1"/>
      <c r="AF3" s="1"/>
    </row>
    <row r="4" spans="6:32" x14ac:dyDescent="0.35">
      <c r="F4" s="1" t="s">
        <v>0</v>
      </c>
      <c r="G4" s="1"/>
      <c r="H4" s="1"/>
      <c r="I4" s="1"/>
      <c r="J4" s="1" t="s">
        <v>8</v>
      </c>
      <c r="K4" s="1"/>
      <c r="L4" s="1"/>
      <c r="M4" s="1"/>
      <c r="P4" s="1" t="s">
        <v>0</v>
      </c>
      <c r="Q4" s="1"/>
      <c r="R4" s="1"/>
      <c r="S4" s="1" t="s">
        <v>8</v>
      </c>
      <c r="T4" s="1"/>
      <c r="U4" s="1"/>
      <c r="V4" s="1"/>
      <c r="W4" s="15"/>
      <c r="Z4" s="1" t="s">
        <v>0</v>
      </c>
      <c r="AA4" s="1"/>
      <c r="AB4" s="1"/>
      <c r="AC4" s="1" t="s">
        <v>8</v>
      </c>
      <c r="AD4" s="1"/>
      <c r="AE4" s="1"/>
      <c r="AF4" s="1"/>
    </row>
    <row r="5" spans="6:32" x14ac:dyDescent="0.35">
      <c r="F5" s="16">
        <v>0</v>
      </c>
      <c r="G5" s="2">
        <v>-20000</v>
      </c>
      <c r="H5" s="2"/>
      <c r="I5" s="2"/>
      <c r="J5" s="2" t="s">
        <v>9</v>
      </c>
      <c r="K5" s="2"/>
      <c r="L5" s="2"/>
      <c r="M5" s="2"/>
      <c r="P5">
        <v>0</v>
      </c>
      <c r="Q5" s="2">
        <f>G5</f>
        <v>-20000</v>
      </c>
      <c r="R5" s="2"/>
      <c r="S5" s="2" t="s">
        <v>9</v>
      </c>
      <c r="T5" s="2"/>
      <c r="U5" s="2"/>
      <c r="V5" s="2"/>
      <c r="Z5">
        <v>0</v>
      </c>
      <c r="AA5" s="2">
        <f>Q5</f>
        <v>-20000</v>
      </c>
      <c r="AB5" s="2"/>
      <c r="AC5" s="2" t="s">
        <v>9</v>
      </c>
      <c r="AD5" s="2"/>
      <c r="AE5" s="2"/>
      <c r="AF5" s="2"/>
    </row>
    <row r="6" spans="6:32" x14ac:dyDescent="0.35">
      <c r="F6" s="16">
        <v>1</v>
      </c>
      <c r="G6" s="2">
        <v>15000</v>
      </c>
      <c r="H6" s="2"/>
      <c r="I6" s="2"/>
      <c r="J6" s="17">
        <f>G6/(1+G3)</f>
        <v>12500</v>
      </c>
      <c r="K6" s="17"/>
      <c r="L6" s="17"/>
      <c r="M6" s="17"/>
      <c r="P6">
        <v>1</v>
      </c>
      <c r="Q6" s="2">
        <f>G6*1.2</f>
        <v>18000</v>
      </c>
      <c r="R6" s="2"/>
      <c r="S6" s="2">
        <f>Q6/(1+Q3)</f>
        <v>15000</v>
      </c>
      <c r="T6" s="2"/>
      <c r="U6" s="2"/>
      <c r="V6" s="2"/>
      <c r="Z6">
        <v>1</v>
      </c>
      <c r="AA6" s="2">
        <f>G6*0.8</f>
        <v>12000</v>
      </c>
      <c r="AB6" s="2"/>
      <c r="AC6" s="17">
        <f>AA6/(1+AA3)</f>
        <v>10000</v>
      </c>
      <c r="AD6" s="17"/>
      <c r="AE6" s="17"/>
      <c r="AF6" s="17"/>
    </row>
    <row r="7" spans="6:32" x14ac:dyDescent="0.35">
      <c r="F7" s="16">
        <v>2</v>
      </c>
      <c r="G7" s="2">
        <v>2000</v>
      </c>
      <c r="H7" s="2"/>
      <c r="I7" s="2"/>
      <c r="J7" s="17">
        <f>G7/(1+G3)</f>
        <v>1666.6666666666667</v>
      </c>
      <c r="K7" s="17"/>
      <c r="L7" s="17"/>
      <c r="M7" s="17"/>
      <c r="P7">
        <v>2</v>
      </c>
      <c r="Q7" s="2">
        <f t="shared" ref="Q7:Q11" si="0">G7*1.2</f>
        <v>2400</v>
      </c>
      <c r="R7" s="2"/>
      <c r="S7" s="2">
        <f>Q7/(1+Q3)</f>
        <v>2000</v>
      </c>
      <c r="T7" s="2"/>
      <c r="U7" s="2"/>
      <c r="V7" s="2"/>
      <c r="Z7">
        <v>2</v>
      </c>
      <c r="AA7" s="2">
        <f t="shared" ref="AA7:AA11" si="1">G7*0.8</f>
        <v>1600</v>
      </c>
      <c r="AB7" s="2"/>
      <c r="AC7" s="17">
        <f>AA7/(1+AA3)</f>
        <v>1333.3333333333335</v>
      </c>
      <c r="AD7" s="17"/>
      <c r="AE7" s="17"/>
      <c r="AF7" s="17"/>
    </row>
    <row r="8" spans="6:32" x14ac:dyDescent="0.35">
      <c r="F8" s="16">
        <v>3</v>
      </c>
      <c r="G8" s="2">
        <v>3000</v>
      </c>
      <c r="H8" s="2"/>
      <c r="I8" s="2"/>
      <c r="J8" s="17">
        <f>G8/(1+G3)</f>
        <v>2500</v>
      </c>
      <c r="K8" s="17"/>
      <c r="L8" s="17"/>
      <c r="M8" s="17"/>
      <c r="P8">
        <v>3</v>
      </c>
      <c r="Q8" s="2">
        <f t="shared" si="0"/>
        <v>3600</v>
      </c>
      <c r="R8" s="2"/>
      <c r="S8" s="2">
        <f>Q8/(1+Q3)</f>
        <v>3000</v>
      </c>
      <c r="T8" s="2"/>
      <c r="U8" s="2"/>
      <c r="V8" s="2"/>
      <c r="Z8">
        <v>3</v>
      </c>
      <c r="AA8" s="2">
        <f t="shared" si="1"/>
        <v>2400</v>
      </c>
      <c r="AB8" s="2"/>
      <c r="AC8" s="17">
        <f>AA8/(1+AA3)</f>
        <v>2000</v>
      </c>
      <c r="AD8" s="17"/>
      <c r="AE8" s="17"/>
      <c r="AF8" s="17"/>
    </row>
    <row r="9" spans="6:32" x14ac:dyDescent="0.35">
      <c r="F9" s="16">
        <v>4</v>
      </c>
      <c r="G9" s="2">
        <v>5000</v>
      </c>
      <c r="H9" s="2"/>
      <c r="I9" s="2"/>
      <c r="J9" s="17">
        <f>G9/(1+G3)</f>
        <v>4166.666666666667</v>
      </c>
      <c r="K9" s="17"/>
      <c r="L9" s="17"/>
      <c r="M9" s="17"/>
      <c r="P9">
        <v>4</v>
      </c>
      <c r="Q9" s="2">
        <f t="shared" si="0"/>
        <v>6000</v>
      </c>
      <c r="R9" s="2"/>
      <c r="S9" s="2">
        <f>Q9/(1+Q3)</f>
        <v>5000</v>
      </c>
      <c r="T9" s="2"/>
      <c r="U9" s="2"/>
      <c r="V9" s="2"/>
      <c r="Z9">
        <v>4</v>
      </c>
      <c r="AA9" s="2">
        <f t="shared" si="1"/>
        <v>4000</v>
      </c>
      <c r="AB9" s="2"/>
      <c r="AC9" s="17">
        <f>AA9/(1+AA3)</f>
        <v>3333.3333333333335</v>
      </c>
      <c r="AD9" s="17"/>
      <c r="AE9" s="17"/>
      <c r="AF9" s="17"/>
    </row>
    <row r="10" spans="6:32" x14ac:dyDescent="0.35">
      <c r="F10" s="16">
        <v>5</v>
      </c>
      <c r="G10" s="2">
        <v>3500</v>
      </c>
      <c r="H10" s="2"/>
      <c r="I10" s="2"/>
      <c r="J10" s="17">
        <f>G10/(1+G3)</f>
        <v>2916.666666666667</v>
      </c>
      <c r="K10" s="17"/>
      <c r="L10" s="17"/>
      <c r="M10" s="17"/>
      <c r="P10">
        <v>5</v>
      </c>
      <c r="Q10" s="2">
        <f t="shared" si="0"/>
        <v>4200</v>
      </c>
      <c r="R10" s="2"/>
      <c r="S10" s="2">
        <f>Q10/(1+Q3)</f>
        <v>3500</v>
      </c>
      <c r="T10" s="2"/>
      <c r="U10" s="2"/>
      <c r="V10" s="2"/>
      <c r="Z10">
        <v>5</v>
      </c>
      <c r="AA10" s="2">
        <f t="shared" si="1"/>
        <v>2800</v>
      </c>
      <c r="AB10" s="2"/>
      <c r="AC10" s="17">
        <f>AA10/(1+AA3)</f>
        <v>2333.3333333333335</v>
      </c>
      <c r="AD10" s="17"/>
      <c r="AE10" s="17"/>
      <c r="AF10" s="17"/>
    </row>
    <row r="11" spans="6:32" x14ac:dyDescent="0.35">
      <c r="F11" s="16">
        <v>6</v>
      </c>
      <c r="G11" s="2">
        <v>9000</v>
      </c>
      <c r="H11" s="2"/>
      <c r="I11" s="2"/>
      <c r="J11" s="17">
        <f>G11/(1+G3)</f>
        <v>7500</v>
      </c>
      <c r="K11" s="17"/>
      <c r="L11" s="17"/>
      <c r="M11" s="17"/>
      <c r="P11">
        <v>6</v>
      </c>
      <c r="Q11" s="2">
        <f t="shared" si="0"/>
        <v>10800</v>
      </c>
      <c r="R11" s="2"/>
      <c r="S11" s="2">
        <f>Q11/(1+Q3)</f>
        <v>9000</v>
      </c>
      <c r="T11" s="2"/>
      <c r="U11" s="2"/>
      <c r="V11" s="2"/>
      <c r="Z11">
        <v>6</v>
      </c>
      <c r="AA11" s="2">
        <f t="shared" si="1"/>
        <v>7200</v>
      </c>
      <c r="AB11" s="2"/>
      <c r="AC11" s="17">
        <f>AA11/(1+AA3)</f>
        <v>6000</v>
      </c>
      <c r="AD11" s="17"/>
      <c r="AE11" s="17"/>
      <c r="AF11" s="17"/>
    </row>
    <row r="12" spans="6:32" x14ac:dyDescent="0.35">
      <c r="F12" s="18" t="s">
        <v>10</v>
      </c>
      <c r="G12" s="19">
        <f>SUM(G6:I11)</f>
        <v>37500</v>
      </c>
      <c r="H12" s="19"/>
      <c r="I12" s="19"/>
      <c r="J12" s="20">
        <f>SUM(J6:M11)</f>
        <v>31250</v>
      </c>
      <c r="K12" s="20"/>
      <c r="L12" s="20"/>
      <c r="M12" s="20"/>
      <c r="P12" s="21" t="s">
        <v>10</v>
      </c>
      <c r="Q12" s="19">
        <f>SUM(Q5:R11)</f>
        <v>25000</v>
      </c>
      <c r="R12" s="19"/>
      <c r="S12" s="19">
        <f>SUM(S6:V11)</f>
        <v>37500</v>
      </c>
      <c r="T12" s="19"/>
      <c r="U12" s="19"/>
      <c r="V12" s="19"/>
      <c r="Z12" s="21" t="s">
        <v>10</v>
      </c>
      <c r="AA12" s="19">
        <f>SUM(AA5:AB11)</f>
        <v>10000</v>
      </c>
      <c r="AB12" s="19"/>
      <c r="AC12" s="20">
        <f>SUM(AC6:AF11)</f>
        <v>25000</v>
      </c>
      <c r="AD12" s="20"/>
      <c r="AE12" s="20"/>
      <c r="AF12" s="20"/>
    </row>
    <row r="14" spans="6:32" x14ac:dyDescent="0.35">
      <c r="F14" s="22" t="s">
        <v>11</v>
      </c>
      <c r="G14" s="23">
        <f>IRR(G5:I11)</f>
        <v>0.25997903854075788</v>
      </c>
      <c r="H14" s="24"/>
      <c r="I14" s="24"/>
      <c r="J14" s="24"/>
      <c r="K14" s="24"/>
      <c r="L14" s="24"/>
      <c r="M14" s="25"/>
      <c r="P14" s="22" t="s">
        <v>11</v>
      </c>
      <c r="Q14" s="23">
        <f>IRR(Q5:R11)</f>
        <v>0.37081677308053562</v>
      </c>
      <c r="R14" s="23"/>
      <c r="S14" s="23"/>
      <c r="T14" s="23"/>
      <c r="U14" s="23"/>
      <c r="V14" s="26"/>
      <c r="Z14" s="22" t="s">
        <v>11</v>
      </c>
      <c r="AA14" s="23">
        <f>IRR(AA5:AB11)</f>
        <v>0.15031900384733077</v>
      </c>
      <c r="AB14" s="23"/>
      <c r="AC14" s="23"/>
      <c r="AD14" s="23"/>
      <c r="AE14" s="23"/>
      <c r="AF14" s="26"/>
    </row>
    <row r="15" spans="6:32" ht="15" thickBot="1" x14ac:dyDescent="0.4"/>
    <row r="16" spans="6:32" ht="15" thickBot="1" x14ac:dyDescent="0.4">
      <c r="F16" s="27" t="s">
        <v>12</v>
      </c>
      <c r="G16" s="6"/>
      <c r="H16" s="6"/>
      <c r="I16" s="6"/>
      <c r="J16" s="6"/>
      <c r="K16" s="6"/>
      <c r="L16" s="6"/>
      <c r="M16" s="7"/>
      <c r="P16" s="3" t="s">
        <v>12</v>
      </c>
      <c r="Q16" s="4"/>
      <c r="R16" s="4"/>
      <c r="S16" s="4"/>
      <c r="T16" s="4"/>
      <c r="U16" s="4"/>
      <c r="V16" s="5"/>
      <c r="W16" s="15"/>
      <c r="Z16" s="27" t="s">
        <v>12</v>
      </c>
      <c r="AA16" s="6"/>
      <c r="AB16" s="6"/>
      <c r="AC16" s="6"/>
      <c r="AD16" s="6"/>
      <c r="AE16" s="6"/>
      <c r="AF16" s="7"/>
    </row>
    <row r="17" spans="6:32" x14ac:dyDescent="0.35">
      <c r="F17" s="9" t="s">
        <v>3</v>
      </c>
      <c r="G17" s="17">
        <f>J12+G5</f>
        <v>11250</v>
      </c>
      <c r="H17" s="2"/>
      <c r="I17" s="2"/>
      <c r="J17" s="2"/>
      <c r="K17" s="2"/>
      <c r="L17" s="2"/>
      <c r="M17" s="28"/>
      <c r="P17" s="9" t="s">
        <v>3</v>
      </c>
      <c r="Q17" s="29">
        <f>S12+Q5</f>
        <v>17500</v>
      </c>
      <c r="R17" s="29"/>
      <c r="S17" s="29"/>
      <c r="T17" s="29"/>
      <c r="U17" s="29"/>
      <c r="V17" s="30"/>
      <c r="Z17" s="9" t="s">
        <v>3</v>
      </c>
      <c r="AA17" s="17">
        <f>AC12+AA5</f>
        <v>5000</v>
      </c>
      <c r="AB17" s="17"/>
      <c r="AC17" s="17"/>
      <c r="AD17" s="17"/>
      <c r="AE17" s="17"/>
      <c r="AF17" s="31"/>
    </row>
    <row r="18" spans="6:32" x14ac:dyDescent="0.35">
      <c r="F18" s="9" t="s">
        <v>13</v>
      </c>
      <c r="G18" s="32">
        <f>G14</f>
        <v>0.25997903854075788</v>
      </c>
      <c r="H18" s="2"/>
      <c r="I18" s="2"/>
      <c r="J18" s="2"/>
      <c r="K18" s="2"/>
      <c r="L18" s="2"/>
      <c r="M18" s="28"/>
      <c r="P18" s="9" t="s">
        <v>13</v>
      </c>
      <c r="Q18" s="33">
        <f>Q14</f>
        <v>0.37081677308053562</v>
      </c>
      <c r="R18" s="33"/>
      <c r="S18" s="33"/>
      <c r="T18" s="33"/>
      <c r="U18" s="33"/>
      <c r="V18" s="34"/>
      <c r="Z18" s="9" t="s">
        <v>13</v>
      </c>
      <c r="AA18" s="33">
        <f>AA14</f>
        <v>0.15031900384733077</v>
      </c>
      <c r="AB18" s="33"/>
      <c r="AC18" s="33"/>
      <c r="AD18" s="33"/>
      <c r="AE18" s="33"/>
      <c r="AF18" s="34"/>
    </row>
    <row r="19" spans="6:32" ht="15" thickBot="1" x14ac:dyDescent="0.4">
      <c r="F19" s="35" t="s">
        <v>14</v>
      </c>
      <c r="G19" s="36"/>
      <c r="H19" s="36"/>
      <c r="I19" s="36"/>
      <c r="J19" s="36"/>
      <c r="K19" s="36"/>
      <c r="L19" s="36"/>
      <c r="M19" s="37"/>
      <c r="P19" s="35" t="s">
        <v>14</v>
      </c>
      <c r="Q19" s="36"/>
      <c r="R19" s="36"/>
      <c r="S19" s="36"/>
      <c r="T19" s="36"/>
      <c r="U19" s="36"/>
      <c r="V19" s="37"/>
      <c r="W19" s="15"/>
      <c r="Z19" s="35" t="s">
        <v>15</v>
      </c>
      <c r="AA19" s="36"/>
      <c r="AB19" s="36"/>
      <c r="AC19" s="36"/>
      <c r="AD19" s="36"/>
      <c r="AE19" s="36"/>
      <c r="AF19" s="37"/>
    </row>
    <row r="20" spans="6:32" ht="15" thickBot="1" x14ac:dyDescent="0.4"/>
    <row r="21" spans="6:32" x14ac:dyDescent="0.35">
      <c r="F21" s="27" t="s">
        <v>16</v>
      </c>
      <c r="G21" s="6"/>
      <c r="H21" s="7"/>
      <c r="I21" s="15"/>
      <c r="J21" s="15"/>
      <c r="K21" s="15"/>
      <c r="L21" s="15"/>
      <c r="M21" s="15"/>
    </row>
    <row r="22" spans="6:32" x14ac:dyDescent="0.35">
      <c r="F22" s="38"/>
      <c r="G22" t="s">
        <v>3</v>
      </c>
      <c r="H22" s="10" t="s">
        <v>13</v>
      </c>
      <c r="I22" s="15"/>
      <c r="J22" s="15"/>
      <c r="K22" s="15"/>
      <c r="L22" s="15"/>
      <c r="M22" s="15"/>
    </row>
    <row r="23" spans="6:32" x14ac:dyDescent="0.35">
      <c r="F23" s="9" t="s">
        <v>1</v>
      </c>
      <c r="G23" s="11">
        <f>G17</f>
        <v>11250</v>
      </c>
      <c r="H23" s="39">
        <f>G18</f>
        <v>0.25997903854075788</v>
      </c>
    </row>
    <row r="24" spans="6:32" x14ac:dyDescent="0.35">
      <c r="F24" s="9" t="s">
        <v>17</v>
      </c>
      <c r="G24" s="11">
        <f>Q17</f>
        <v>17500</v>
      </c>
      <c r="H24" s="39">
        <f>Q18</f>
        <v>0.37081677308053562</v>
      </c>
    </row>
    <row r="25" spans="6:32" ht="15" thickBot="1" x14ac:dyDescent="0.4">
      <c r="F25" s="8" t="s">
        <v>18</v>
      </c>
      <c r="G25" s="40">
        <f>AA17</f>
        <v>5000</v>
      </c>
      <c r="H25" s="41">
        <f>AA18</f>
        <v>0.15031900384733077</v>
      </c>
    </row>
  </sheetData>
  <mergeCells count="79">
    <mergeCell ref="F19:M19"/>
    <mergeCell ref="P19:V19"/>
    <mergeCell ref="Z19:AF19"/>
    <mergeCell ref="F21:H21"/>
    <mergeCell ref="G17:M17"/>
    <mergeCell ref="Q17:V17"/>
    <mergeCell ref="AA17:AF17"/>
    <mergeCell ref="G18:M18"/>
    <mergeCell ref="Q18:V18"/>
    <mergeCell ref="AA18:AF18"/>
    <mergeCell ref="G14:M14"/>
    <mergeCell ref="Q14:V14"/>
    <mergeCell ref="AA14:AF14"/>
    <mergeCell ref="F16:M16"/>
    <mergeCell ref="P16:V16"/>
    <mergeCell ref="Z16:AF16"/>
    <mergeCell ref="G12:I12"/>
    <mergeCell ref="J12:M12"/>
    <mergeCell ref="Q12:R12"/>
    <mergeCell ref="S12:V12"/>
    <mergeCell ref="AA12:AB12"/>
    <mergeCell ref="AC12:AF12"/>
    <mergeCell ref="G11:I11"/>
    <mergeCell ref="J11:M11"/>
    <mergeCell ref="Q11:R11"/>
    <mergeCell ref="S11:V11"/>
    <mergeCell ref="AA11:AB11"/>
    <mergeCell ref="AC11:AF11"/>
    <mergeCell ref="G10:I10"/>
    <mergeCell ref="J10:M10"/>
    <mergeCell ref="Q10:R10"/>
    <mergeCell ref="S10:V10"/>
    <mergeCell ref="AA10:AB10"/>
    <mergeCell ref="AC10:AF10"/>
    <mergeCell ref="G9:I9"/>
    <mergeCell ref="J9:M9"/>
    <mergeCell ref="Q9:R9"/>
    <mergeCell ref="S9:V9"/>
    <mergeCell ref="AA9:AB9"/>
    <mergeCell ref="AC9:AF9"/>
    <mergeCell ref="G8:I8"/>
    <mergeCell ref="J8:M8"/>
    <mergeCell ref="Q8:R8"/>
    <mergeCell ref="S8:V8"/>
    <mergeCell ref="AA8:AB8"/>
    <mergeCell ref="AC8:AF8"/>
    <mergeCell ref="G7:I7"/>
    <mergeCell ref="J7:M7"/>
    <mergeCell ref="Q7:R7"/>
    <mergeCell ref="S7:V7"/>
    <mergeCell ref="AA7:AB7"/>
    <mergeCell ref="AC7:AF7"/>
    <mergeCell ref="G6:I6"/>
    <mergeCell ref="J6:M6"/>
    <mergeCell ref="Q6:R6"/>
    <mergeCell ref="S6:V6"/>
    <mergeCell ref="AA6:AB6"/>
    <mergeCell ref="AC6:AF6"/>
    <mergeCell ref="G5:I5"/>
    <mergeCell ref="J5:M5"/>
    <mergeCell ref="Q5:R5"/>
    <mergeCell ref="S5:V5"/>
    <mergeCell ref="AA5:AB5"/>
    <mergeCell ref="AC5:AF5"/>
    <mergeCell ref="G3:M3"/>
    <mergeCell ref="Q3:V3"/>
    <mergeCell ref="AA3:AF3"/>
    <mergeCell ref="F4:I4"/>
    <mergeCell ref="J4:M4"/>
    <mergeCell ref="P4:R4"/>
    <mergeCell ref="S4:V4"/>
    <mergeCell ref="Z4:AB4"/>
    <mergeCell ref="AC4:AF4"/>
    <mergeCell ref="F1:M1"/>
    <mergeCell ref="P1:V1"/>
    <mergeCell ref="Z1:AF1"/>
    <mergeCell ref="G2:M2"/>
    <mergeCell ref="Q2:V2"/>
    <mergeCell ref="AA2:A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Scenario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Ibaad the master</dc:creator>
  <cp:lastModifiedBy>Ibaad the master</cp:lastModifiedBy>
  <dcterms:created xsi:type="dcterms:W3CDTF">2026-05-19T20:34:53Z</dcterms:created>
  <dcterms:modified xsi:type="dcterms:W3CDTF">2026-05-19T20:44:03Z</dcterms:modified>
</cp:coreProperties>
</file>